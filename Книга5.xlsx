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информатика\"/>
    </mc:Choice>
  </mc:AlternateContent>
  <xr:revisionPtr revIDLastSave="0" documentId="13_ncr:1_{AF57F935-A80E-4816-84A5-BAD6FE4F99F7}" xr6:coauthVersionLast="47" xr6:coauthVersionMax="47" xr10:uidLastSave="{00000000-0000-0000-0000-000000000000}"/>
  <bookViews>
    <workbookView xWindow="-120" yWindow="-120" windowWidth="29040" windowHeight="15840" xr2:uid="{4F01CF71-C3C4-4758-A65A-84EBC86D013A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5" r:id="rId5"/>
    <sheet name="задание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6" l="1"/>
  <c r="C17" i="6"/>
  <c r="C16" i="6"/>
  <c r="D19" i="6"/>
  <c r="D20" i="6"/>
  <c r="C3" i="5"/>
  <c r="C4" i="5"/>
  <c r="C5" i="5"/>
  <c r="C6" i="5"/>
  <c r="C7" i="5"/>
  <c r="C8" i="5"/>
  <c r="C2" i="5"/>
  <c r="B3" i="4"/>
  <c r="B4" i="4"/>
  <c r="B5" i="4"/>
  <c r="B6" i="4"/>
  <c r="B7" i="4"/>
  <c r="B2" i="4"/>
  <c r="F3" i="3"/>
  <c r="F6" i="3"/>
  <c r="F7" i="3"/>
  <c r="F8" i="3"/>
  <c r="F9" i="3"/>
  <c r="F10" i="3"/>
  <c r="F11" i="3"/>
  <c r="F12" i="3"/>
  <c r="E6" i="3"/>
  <c r="E7" i="3"/>
  <c r="E8" i="3"/>
  <c r="E9" i="3"/>
  <c r="E10" i="3"/>
  <c r="E11" i="3"/>
  <c r="E12" i="3"/>
  <c r="E4" i="3"/>
  <c r="F4" i="3" s="1"/>
  <c r="E5" i="3"/>
  <c r="F5" i="3" s="1"/>
  <c r="E3" i="3"/>
  <c r="B2" i="2"/>
  <c r="B3" i="2"/>
  <c r="B4" i="2"/>
  <c r="B5" i="2"/>
  <c r="B6" i="2"/>
  <c r="B7" i="2"/>
  <c r="B8" i="2"/>
  <c r="B9" i="2"/>
  <c r="B10" i="2"/>
  <c r="B1" i="2"/>
  <c r="X5" i="1"/>
  <c r="X6" i="1"/>
  <c r="X7" i="1"/>
  <c r="X8" i="1"/>
  <c r="X9" i="1"/>
  <c r="X10" i="1"/>
  <c r="X11" i="1"/>
  <c r="X4" i="1"/>
  <c r="W5" i="1"/>
  <c r="W6" i="1"/>
  <c r="W7" i="1"/>
  <c r="W8" i="1"/>
  <c r="W9" i="1"/>
  <c r="W10" i="1"/>
  <c r="W11" i="1"/>
  <c r="W4" i="1"/>
  <c r="V5" i="1"/>
  <c r="V6" i="1"/>
  <c r="V7" i="1"/>
  <c r="V8" i="1"/>
  <c r="V9" i="1"/>
  <c r="V10" i="1"/>
  <c r="V11" i="1"/>
  <c r="V4" i="1"/>
  <c r="Q5" i="1"/>
  <c r="Q6" i="1"/>
  <c r="Q7" i="1"/>
  <c r="Q8" i="1"/>
  <c r="Q9" i="1"/>
  <c r="Q10" i="1"/>
  <c r="Q11" i="1"/>
  <c r="Q4" i="1"/>
  <c r="P5" i="1"/>
  <c r="P6" i="1"/>
  <c r="P7" i="1"/>
  <c r="P8" i="1"/>
  <c r="P9" i="1"/>
  <c r="P10" i="1"/>
  <c r="P11" i="1"/>
  <c r="P4" i="1"/>
  <c r="O5" i="1"/>
  <c r="O6" i="1"/>
  <c r="O7" i="1"/>
  <c r="O8" i="1"/>
  <c r="O9" i="1"/>
  <c r="O10" i="1"/>
  <c r="O11" i="1"/>
  <c r="O4" i="1"/>
  <c r="J5" i="1"/>
  <c r="J6" i="1"/>
  <c r="J7" i="1"/>
  <c r="J4" i="1"/>
  <c r="F5" i="1"/>
  <c r="F6" i="1"/>
  <c r="F7" i="1"/>
  <c r="F4" i="1"/>
  <c r="B5" i="1"/>
  <c r="B4" i="1"/>
</calcChain>
</file>

<file path=xl/sharedStrings.xml><?xml version="1.0" encoding="utf-8"?>
<sst xmlns="http://schemas.openxmlformats.org/spreadsheetml/2006/main" count="102" uniqueCount="87">
  <si>
    <t>Построить таблицы истинности к следующим логическим операциям</t>
  </si>
  <si>
    <t>x</t>
  </si>
  <si>
    <t>Логическое отрицание (инверсия)</t>
  </si>
  <si>
    <t>Логическое умножение(конъюнкция)</t>
  </si>
  <si>
    <t>y</t>
  </si>
  <si>
    <t>f=x&amp;y</t>
  </si>
  <si>
    <t>не</t>
  </si>
  <si>
    <t>¬x</t>
  </si>
  <si>
    <t>Логическое сложение (дезъюнкция)</t>
  </si>
  <si>
    <r>
      <t>f=x</t>
    </r>
    <r>
      <rPr>
        <sz val="11"/>
        <color theme="1"/>
        <rFont val="Calibri"/>
        <family val="2"/>
        <charset val="204"/>
      </rPr>
      <t>ᵛy</t>
    </r>
  </si>
  <si>
    <t>andи ^</t>
  </si>
  <si>
    <t>или or</t>
  </si>
  <si>
    <t>a</t>
  </si>
  <si>
    <t>b</t>
  </si>
  <si>
    <t>c</t>
  </si>
  <si>
    <t>не b</t>
  </si>
  <si>
    <t>a и не b</t>
  </si>
  <si>
    <t>(a и не b) или с</t>
  </si>
  <si>
    <t>f=(a и не b) или с</t>
  </si>
  <si>
    <t>z</t>
  </si>
  <si>
    <r>
      <t>x</t>
    </r>
    <r>
      <rPr>
        <sz val="11"/>
        <color theme="1"/>
        <rFont val="Calibri"/>
        <family val="2"/>
        <charset val="204"/>
      </rPr>
      <t>ᵛy</t>
    </r>
  </si>
  <si>
    <t>¬z</t>
  </si>
  <si>
    <t>f=(xᵛy)^¬z</t>
  </si>
  <si>
    <t>№ п/п</t>
  </si>
  <si>
    <t>Список класса</t>
  </si>
  <si>
    <t>Предмет</t>
  </si>
  <si>
    <t>алгебра</t>
  </si>
  <si>
    <t>геометрия</t>
  </si>
  <si>
    <t>Средний балл</t>
  </si>
  <si>
    <t>Результат зачета</t>
  </si>
  <si>
    <t>Барабаш Алина</t>
  </si>
  <si>
    <t>Гришкевич Александр</t>
  </si>
  <si>
    <t>Жураева Гуля</t>
  </si>
  <si>
    <t>Звиревич Снежана</t>
  </si>
  <si>
    <t>Колосова Алена</t>
  </si>
  <si>
    <t>Колосова Анастасия</t>
  </si>
  <si>
    <t>Куприянова Анастасия</t>
  </si>
  <si>
    <t>Малясов Артем</t>
  </si>
  <si>
    <t>Мунгалов Константин</t>
  </si>
  <si>
    <t>Шабаев Георгий</t>
  </si>
  <si>
    <t>Сигнал</t>
  </si>
  <si>
    <t>Действие</t>
  </si>
  <si>
    <t>Зеленый</t>
  </si>
  <si>
    <t>Красный</t>
  </si>
  <si>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</si>
  <si>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</si>
  <si>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</si>
  <si>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</si>
  <si>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</si>
  <si>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</si>
  <si>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</si>
  <si>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</si>
  <si>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Пасмурно</t>
  </si>
  <si>
    <t>Солнечно</t>
  </si>
  <si>
    <t>Облачно</t>
  </si>
  <si>
    <t>Ветрено</t>
  </si>
  <si>
    <t>Совет</t>
  </si>
  <si>
    <t xml:space="preserve">Прогноз </t>
  </si>
  <si>
    <t>№</t>
  </si>
  <si>
    <t>Штатное расписание</t>
  </si>
  <si>
    <t>ФИО</t>
  </si>
  <si>
    <t>Анваров Г.И.</t>
  </si>
  <si>
    <t>Габибова А.Н.</t>
  </si>
  <si>
    <t>Джабраилова А.М.</t>
  </si>
  <si>
    <t>Патахова В.П.</t>
  </si>
  <si>
    <t>Махмудов Р.Ш.</t>
  </si>
  <si>
    <t>Абасов Р.Г.</t>
  </si>
  <si>
    <t>Курбанов Р.В.</t>
  </si>
  <si>
    <t>Азизова И.К.</t>
  </si>
  <si>
    <t>Иминов И.Р.</t>
  </si>
  <si>
    <t>Курахмедов В.Т.</t>
  </si>
  <si>
    <t>ФОТ по предприятию</t>
  </si>
  <si>
    <t>Минимальный оклад</t>
  </si>
  <si>
    <t>Максимальный оклад</t>
  </si>
  <si>
    <t>Средняя заработная плата</t>
  </si>
  <si>
    <t>Число сотрудников, имеющих оклад менее</t>
  </si>
  <si>
    <t>ФОТ сотрудников, имеющих оклад менее</t>
  </si>
  <si>
    <t>Должность</t>
  </si>
  <si>
    <t>Директор</t>
  </si>
  <si>
    <t>Главный бухгалтер</t>
  </si>
  <si>
    <t>Бухгалтер</t>
  </si>
  <si>
    <t>Кладовщик</t>
  </si>
  <si>
    <t>Электрик</t>
  </si>
  <si>
    <t>Механик</t>
  </si>
  <si>
    <t>Продавец</t>
  </si>
  <si>
    <t>Грузчик</t>
  </si>
  <si>
    <t>Оклад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</si>
</sst>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0" xfId="0" applyAlignment="1">
      <alignment wrapText="1"/>
    </xf>
    <xf numFmtId="0" fontId="1" fillId="0" borderId="2" xfId="0" applyFont="1" applyBorder="1"/>
    <xf numFmtId="0" fontId="3" fillId="0" borderId="0" xfId="0" applyFont="1"/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1C8E-532D-46FA-B193-5913B6D585D2}">
  <dimension ref="A1:X11"/>
  <sheetViews>
    <sheetView tabSelected="1" workbookViewId="0">
      <selection activeCell="O5" sqref="O5"/>
    </sheetView>
  </sheetViews>
  <sheetFormatPr defaultRowHeight="15" x14ac:dyDescent="0.25"/>
  <cols>
    <col min="17" max="17" width="16.140625" customWidth="1"/>
    <col min="19" max="19" width="6.85546875" customWidth="1"/>
    <col min="20" max="20" width="6.28515625" customWidth="1"/>
    <col min="21" max="21" width="6.85546875" customWidth="1"/>
  </cols>
  <sheetData>
    <row r="1" spans="1:24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24" ht="33.75" customHeight="1" x14ac:dyDescent="0.25">
      <c r="A2" s="16" t="s">
        <v>2</v>
      </c>
      <c r="B2" s="16"/>
      <c r="C2" s="2"/>
      <c r="D2" s="16" t="s">
        <v>3</v>
      </c>
      <c r="E2" s="16"/>
      <c r="F2" s="16"/>
      <c r="H2" s="16" t="s">
        <v>8</v>
      </c>
      <c r="I2" s="16"/>
      <c r="J2" s="16"/>
      <c r="L2" s="14" t="s">
        <v>18</v>
      </c>
      <c r="M2" s="14"/>
      <c r="N2" s="14"/>
      <c r="O2" s="14"/>
      <c r="P2" s="14"/>
      <c r="Q2" s="14"/>
      <c r="S2" s="14" t="s">
        <v>22</v>
      </c>
      <c r="T2" s="14"/>
      <c r="U2" s="14"/>
      <c r="V2" s="14"/>
      <c r="W2" s="14"/>
      <c r="X2" s="14"/>
    </row>
    <row r="3" spans="1:24" x14ac:dyDescent="0.25">
      <c r="A3" s="1" t="s">
        <v>1</v>
      </c>
      <c r="B3" s="1" t="s">
        <v>7</v>
      </c>
      <c r="D3" s="1" t="s">
        <v>1</v>
      </c>
      <c r="E3" s="1" t="s">
        <v>4</v>
      </c>
      <c r="F3" s="1" t="s">
        <v>5</v>
      </c>
      <c r="H3" s="1" t="s">
        <v>1</v>
      </c>
      <c r="I3" s="1" t="s">
        <v>4</v>
      </c>
      <c r="J3" s="1" t="s">
        <v>9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S3" s="1" t="s">
        <v>1</v>
      </c>
      <c r="T3" s="1" t="s">
        <v>4</v>
      </c>
      <c r="U3" s="1" t="s">
        <v>19</v>
      </c>
      <c r="V3" s="1" t="s">
        <v>20</v>
      </c>
      <c r="W3" s="1" t="s">
        <v>21</v>
      </c>
      <c r="X3" s="3" t="s">
        <v>22</v>
      </c>
    </row>
    <row r="4" spans="1:24" x14ac:dyDescent="0.25">
      <c r="A4" s="1">
        <v>0</v>
      </c>
      <c r="B4" s="1" t="b">
        <f>NOT(A4)</f>
        <v>1</v>
      </c>
      <c r="D4" s="1">
        <v>0</v>
      </c>
      <c r="E4" s="1">
        <v>0</v>
      </c>
      <c r="F4" s="1" t="b">
        <f>AND(D4,E4)</f>
        <v>0</v>
      </c>
      <c r="H4" s="1">
        <v>0</v>
      </c>
      <c r="I4" s="1">
        <v>0</v>
      </c>
      <c r="J4" s="1" t="b">
        <f>OR(H4,I4)</f>
        <v>0</v>
      </c>
      <c r="L4" s="1">
        <v>0</v>
      </c>
      <c r="M4" s="1">
        <v>0</v>
      </c>
      <c r="N4" s="1">
        <v>0</v>
      </c>
      <c r="O4" s="1" t="b">
        <f>NOT(M4)</f>
        <v>1</v>
      </c>
      <c r="P4" s="1" t="b">
        <f>AND(L4,O4)</f>
        <v>0</v>
      </c>
      <c r="Q4" s="3" t="b">
        <f>OR(P4,N4)</f>
        <v>0</v>
      </c>
      <c r="S4" s="1">
        <v>0</v>
      </c>
      <c r="T4" s="1">
        <v>0</v>
      </c>
      <c r="U4" s="1">
        <v>0</v>
      </c>
      <c r="V4" s="1" t="b">
        <f>OR(S4,T4)</f>
        <v>0</v>
      </c>
      <c r="W4" s="1" t="b">
        <f>NOT(U4)</f>
        <v>1</v>
      </c>
      <c r="X4" s="3" t="b">
        <f>AND(V4,W4)</f>
        <v>0</v>
      </c>
    </row>
    <row r="5" spans="1:24" x14ac:dyDescent="0.25">
      <c r="A5" s="1">
        <v>1</v>
      </c>
      <c r="B5" s="1" t="b">
        <f>NOT(A5)</f>
        <v>0</v>
      </c>
      <c r="D5" s="1">
        <v>0</v>
      </c>
      <c r="E5" s="1">
        <v>1</v>
      </c>
      <c r="F5" s="1" t="b">
        <f t="shared" ref="F5:F7" si="0">AND(D5,E5)</f>
        <v>0</v>
      </c>
      <c r="H5" s="1">
        <v>0</v>
      </c>
      <c r="I5" s="1">
        <v>1</v>
      </c>
      <c r="J5" s="1" t="b">
        <f t="shared" ref="J5:J7" si="1">OR(H5,I5)</f>
        <v>1</v>
      </c>
      <c r="L5" s="1">
        <v>0</v>
      </c>
      <c r="M5" s="1">
        <v>0</v>
      </c>
      <c r="N5" s="1">
        <v>1</v>
      </c>
      <c r="O5" s="1" t="b">
        <f t="shared" ref="O5:O11" si="2">NOT(M5)</f>
        <v>1</v>
      </c>
      <c r="P5" s="1" t="b">
        <f t="shared" ref="P5:P11" si="3">AND(L5,O5)</f>
        <v>0</v>
      </c>
      <c r="Q5" s="3" t="b">
        <f t="shared" ref="Q5:Q11" si="4">OR(P5,N5)</f>
        <v>1</v>
      </c>
      <c r="S5" s="1">
        <v>0</v>
      </c>
      <c r="T5" s="1">
        <v>0</v>
      </c>
      <c r="U5" s="1">
        <v>1</v>
      </c>
      <c r="V5" s="1" t="b">
        <f t="shared" ref="V5:V11" si="5">OR(S5,T5)</f>
        <v>0</v>
      </c>
      <c r="W5" s="1" t="b">
        <f t="shared" ref="W5:W11" si="6">NOT(U5)</f>
        <v>0</v>
      </c>
      <c r="X5" s="3" t="b">
        <f t="shared" ref="X5:X11" si="7">AND(V5,W5)</f>
        <v>0</v>
      </c>
    </row>
    <row r="6" spans="1:24" x14ac:dyDescent="0.25">
      <c r="A6" s="1"/>
      <c r="B6" s="1"/>
      <c r="D6" s="1">
        <v>1</v>
      </c>
      <c r="E6" s="1">
        <v>0</v>
      </c>
      <c r="F6" s="1" t="b">
        <f t="shared" si="0"/>
        <v>0</v>
      </c>
      <c r="H6" s="1">
        <v>1</v>
      </c>
      <c r="I6" s="1">
        <v>0</v>
      </c>
      <c r="J6" s="1" t="b">
        <f t="shared" si="1"/>
        <v>1</v>
      </c>
      <c r="L6" s="1">
        <v>0</v>
      </c>
      <c r="M6" s="1">
        <v>1</v>
      </c>
      <c r="N6" s="1">
        <v>0</v>
      </c>
      <c r="O6" s="1" t="b">
        <f t="shared" si="2"/>
        <v>0</v>
      </c>
      <c r="P6" s="1" t="b">
        <f t="shared" si="3"/>
        <v>0</v>
      </c>
      <c r="Q6" s="3" t="b">
        <f t="shared" si="4"/>
        <v>0</v>
      </c>
      <c r="S6" s="1">
        <v>0</v>
      </c>
      <c r="T6" s="1">
        <v>1</v>
      </c>
      <c r="U6" s="1">
        <v>0</v>
      </c>
      <c r="V6" s="1" t="b">
        <f t="shared" si="5"/>
        <v>1</v>
      </c>
      <c r="W6" s="1" t="b">
        <f t="shared" si="6"/>
        <v>1</v>
      </c>
      <c r="X6" s="3" t="b">
        <f t="shared" si="7"/>
        <v>1</v>
      </c>
    </row>
    <row r="7" spans="1:24" x14ac:dyDescent="0.25">
      <c r="A7" s="1"/>
      <c r="B7" s="1" t="s">
        <v>6</v>
      </c>
      <c r="D7" s="1">
        <v>1</v>
      </c>
      <c r="E7" s="1">
        <v>1</v>
      </c>
      <c r="F7" s="1" t="b">
        <f t="shared" si="0"/>
        <v>1</v>
      </c>
      <c r="H7" s="1">
        <v>1</v>
      </c>
      <c r="I7" s="1">
        <v>1</v>
      </c>
      <c r="J7" s="1" t="b">
        <f t="shared" si="1"/>
        <v>1</v>
      </c>
      <c r="L7" s="1">
        <v>0</v>
      </c>
      <c r="M7" s="1">
        <v>1</v>
      </c>
      <c r="N7" s="1">
        <v>1</v>
      </c>
      <c r="O7" s="1" t="b">
        <f t="shared" si="2"/>
        <v>0</v>
      </c>
      <c r="P7" s="1" t="b">
        <f t="shared" si="3"/>
        <v>0</v>
      </c>
      <c r="Q7" s="3" t="b">
        <f t="shared" si="4"/>
        <v>1</v>
      </c>
      <c r="S7" s="1">
        <v>0</v>
      </c>
      <c r="T7" s="1">
        <v>1</v>
      </c>
      <c r="U7" s="1">
        <v>1</v>
      </c>
      <c r="V7" s="1" t="b">
        <f t="shared" si="5"/>
        <v>1</v>
      </c>
      <c r="W7" s="1" t="b">
        <f t="shared" si="6"/>
        <v>0</v>
      </c>
      <c r="X7" s="3" t="b">
        <f t="shared" si="7"/>
        <v>0</v>
      </c>
    </row>
    <row r="8" spans="1:24" x14ac:dyDescent="0.25">
      <c r="L8" s="1">
        <v>1</v>
      </c>
      <c r="M8" s="1">
        <v>0</v>
      </c>
      <c r="N8" s="1">
        <v>0</v>
      </c>
      <c r="O8" s="1" t="b">
        <f t="shared" si="2"/>
        <v>1</v>
      </c>
      <c r="P8" s="1" t="b">
        <f t="shared" si="3"/>
        <v>1</v>
      </c>
      <c r="Q8" s="3" t="b">
        <f t="shared" si="4"/>
        <v>1</v>
      </c>
      <c r="S8" s="1">
        <v>1</v>
      </c>
      <c r="T8" s="1">
        <v>0</v>
      </c>
      <c r="U8" s="1">
        <v>0</v>
      </c>
      <c r="V8" s="1" t="b">
        <f t="shared" si="5"/>
        <v>1</v>
      </c>
      <c r="W8" s="1" t="b">
        <f t="shared" si="6"/>
        <v>1</v>
      </c>
      <c r="X8" s="3" t="b">
        <f t="shared" si="7"/>
        <v>1</v>
      </c>
    </row>
    <row r="9" spans="1:24" x14ac:dyDescent="0.25">
      <c r="F9" t="s">
        <v>10</v>
      </c>
      <c r="J9" t="s">
        <v>11</v>
      </c>
      <c r="L9" s="1">
        <v>1</v>
      </c>
      <c r="M9" s="1">
        <v>0</v>
      </c>
      <c r="N9" s="1">
        <v>1</v>
      </c>
      <c r="O9" s="1" t="b">
        <f t="shared" si="2"/>
        <v>1</v>
      </c>
      <c r="P9" s="1" t="b">
        <f t="shared" si="3"/>
        <v>1</v>
      </c>
      <c r="Q9" s="3" t="b">
        <f t="shared" si="4"/>
        <v>1</v>
      </c>
      <c r="S9" s="1">
        <v>1</v>
      </c>
      <c r="T9" s="1">
        <v>0</v>
      </c>
      <c r="U9" s="1">
        <v>1</v>
      </c>
      <c r="V9" s="1" t="b">
        <f t="shared" si="5"/>
        <v>1</v>
      </c>
      <c r="W9" s="1" t="b">
        <f t="shared" si="6"/>
        <v>0</v>
      </c>
      <c r="X9" s="3" t="b">
        <f t="shared" si="7"/>
        <v>0</v>
      </c>
    </row>
    <row r="10" spans="1:24" x14ac:dyDescent="0.25">
      <c r="L10" s="1">
        <v>1</v>
      </c>
      <c r="M10" s="1">
        <v>1</v>
      </c>
      <c r="N10" s="1">
        <v>0</v>
      </c>
      <c r="O10" s="1" t="b">
        <f t="shared" si="2"/>
        <v>0</v>
      </c>
      <c r="P10" s="1" t="b">
        <f t="shared" si="3"/>
        <v>0</v>
      </c>
      <c r="Q10" s="3" t="b">
        <f t="shared" si="4"/>
        <v>0</v>
      </c>
      <c r="S10" s="1">
        <v>1</v>
      </c>
      <c r="T10" s="1">
        <v>1</v>
      </c>
      <c r="U10" s="1">
        <v>0</v>
      </c>
      <c r="V10" s="1" t="b">
        <f t="shared" si="5"/>
        <v>1</v>
      </c>
      <c r="W10" s="1" t="b">
        <f t="shared" si="6"/>
        <v>1</v>
      </c>
      <c r="X10" s="3" t="b">
        <f t="shared" si="7"/>
        <v>1</v>
      </c>
    </row>
    <row r="11" spans="1:24" x14ac:dyDescent="0.25">
      <c r="L11" s="1">
        <v>1</v>
      </c>
      <c r="M11" s="1">
        <v>1</v>
      </c>
      <c r="N11" s="1">
        <v>1</v>
      </c>
      <c r="O11" s="1" t="b">
        <f t="shared" si="2"/>
        <v>0</v>
      </c>
      <c r="P11" s="1" t="b">
        <f t="shared" si="3"/>
        <v>0</v>
      </c>
      <c r="Q11" s="3" t="b">
        <f t="shared" si="4"/>
        <v>1</v>
      </c>
      <c r="S11" s="1">
        <v>1</v>
      </c>
      <c r="T11" s="1">
        <v>1</v>
      </c>
      <c r="U11" s="1">
        <v>1</v>
      </c>
      <c r="V11" s="1" t="b">
        <f t="shared" si="5"/>
        <v>1</v>
      </c>
      <c r="W11" s="1" t="b">
        <f t="shared" si="6"/>
        <v>0</v>
      </c>
      <c r="X11" s="3" t="b">
        <f t="shared" si="7"/>
        <v>0</v>
      </c>
    </row>
  </sheetData>
  <mergeCells count="6">
    <mergeCell ref="S2:X2"/>
    <mergeCell ref="A1:N1"/>
    <mergeCell ref="A2:B2"/>
    <mergeCell ref="D2:F2"/>
    <mergeCell ref="H2:J2"/>
    <mergeCell ref="L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E099-E8A3-43F5-A9C5-8D597333F460}">
  <dimension ref="A1:B10"/>
  <sheetViews>
    <sheetView workbookViewId="0">
      <selection activeCell="C1" sqref="C1"/>
    </sheetView>
  </sheetViews>
  <sheetFormatPr defaultRowHeight="15" x14ac:dyDescent="0.25"/>
  <sheetData>
    <row r="1" spans="1:2" x14ac:dyDescent="0.25">
      <c r="A1">
        <v>23</v>
      </c>
      <c r="B1">
        <f>IF(A1&gt;0,1,0)</f>
        <v>1</v>
      </c>
    </row>
    <row r="2" spans="1:2" x14ac:dyDescent="0.25">
      <c r="A2">
        <v>-23</v>
      </c>
      <c r="B2">
        <f t="shared" ref="B2:B10" si="0">IF(A2&gt;0,1,0)</f>
        <v>0</v>
      </c>
    </row>
    <row r="3" spans="1:2" x14ac:dyDescent="0.25">
      <c r="A3">
        <v>50</v>
      </c>
      <c r="B3">
        <f t="shared" si="0"/>
        <v>1</v>
      </c>
    </row>
    <row r="4" spans="1:2" x14ac:dyDescent="0.25">
      <c r="A4">
        <v>-50</v>
      </c>
      <c r="B4">
        <f t="shared" si="0"/>
        <v>0</v>
      </c>
    </row>
    <row r="5" spans="1:2" x14ac:dyDescent="0.25">
      <c r="A5">
        <v>11</v>
      </c>
      <c r="B5">
        <f t="shared" si="0"/>
        <v>1</v>
      </c>
    </row>
    <row r="6" spans="1:2" x14ac:dyDescent="0.25">
      <c r="A6">
        <v>-11</v>
      </c>
      <c r="B6">
        <f t="shared" si="0"/>
        <v>0</v>
      </c>
    </row>
    <row r="7" spans="1:2" x14ac:dyDescent="0.25">
      <c r="A7">
        <v>13</v>
      </c>
      <c r="B7">
        <f t="shared" si="0"/>
        <v>1</v>
      </c>
    </row>
    <row r="8" spans="1:2" x14ac:dyDescent="0.25">
      <c r="A8">
        <v>-13</v>
      </c>
      <c r="B8">
        <f t="shared" si="0"/>
        <v>0</v>
      </c>
    </row>
    <row r="9" spans="1:2" x14ac:dyDescent="0.25">
      <c r="A9">
        <v>2</v>
      </c>
      <c r="B9">
        <f t="shared" si="0"/>
        <v>1</v>
      </c>
    </row>
    <row r="10" spans="1:2" x14ac:dyDescent="0.25">
      <c r="A10">
        <v>-2</v>
      </c>
      <c r="B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67E2-6494-4E85-929B-A33BF470992C}">
  <dimension ref="A1:X37"/>
  <sheetViews>
    <sheetView workbookViewId="0">
      <selection activeCell="F5" sqref="F5"/>
    </sheetView>
  </sheetViews>
  <sheetFormatPr defaultRowHeight="15" x14ac:dyDescent="0.25"/>
  <cols>
    <col min="1" max="1" width="6.42578125" customWidth="1"/>
    <col min="2" max="2" width="27.140625" customWidth="1"/>
    <col min="3" max="3" width="11.85546875" customWidth="1"/>
    <col min="4" max="4" width="11.42578125" customWidth="1"/>
    <col min="5" max="5" width="10.85546875" customWidth="1"/>
    <col min="6" max="6" width="11.140625" customWidth="1"/>
  </cols>
  <sheetData>
    <row r="1" spans="1:24" ht="15.75" x14ac:dyDescent="0.25">
      <c r="A1" s="17" t="s">
        <v>23</v>
      </c>
      <c r="B1" s="18" t="s">
        <v>24</v>
      </c>
      <c r="C1" s="18" t="s">
        <v>25</v>
      </c>
      <c r="D1" s="18"/>
      <c r="E1" s="17" t="s">
        <v>28</v>
      </c>
      <c r="F1" s="17" t="s">
        <v>29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x14ac:dyDescent="0.25">
      <c r="A2" s="17"/>
      <c r="B2" s="18"/>
      <c r="C2" s="7" t="s">
        <v>26</v>
      </c>
      <c r="D2" s="7" t="s">
        <v>27</v>
      </c>
      <c r="E2" s="17"/>
      <c r="F2" s="1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x14ac:dyDescent="0.25">
      <c r="A3" s="6">
        <v>1</v>
      </c>
      <c r="B3" s="8" t="s">
        <v>30</v>
      </c>
      <c r="C3" s="8">
        <v>4</v>
      </c>
      <c r="D3" s="8">
        <v>4</v>
      </c>
      <c r="E3" s="8">
        <f>AVERAGE(C3,D3)</f>
        <v>4</v>
      </c>
      <c r="F3" s="8" t="str">
        <f>IF(E3&gt;4,"зачтено","не зачтено")</f>
        <v>не зачтено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x14ac:dyDescent="0.25">
      <c r="A4" s="6">
        <v>2</v>
      </c>
      <c r="B4" s="8" t="s">
        <v>31</v>
      </c>
      <c r="C4" s="8">
        <v>3</v>
      </c>
      <c r="D4" s="8">
        <v>4</v>
      </c>
      <c r="E4" s="8">
        <f t="shared" ref="E4:E12" si="0">AVERAGE(C4,D4)</f>
        <v>3.5</v>
      </c>
      <c r="F4" s="8" t="str">
        <f t="shared" ref="F4:F12" si="1">IF(E4&gt;4,"зачтено","не зачтено")</f>
        <v>не зачтено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x14ac:dyDescent="0.25">
      <c r="A5" s="6">
        <v>3</v>
      </c>
      <c r="B5" s="8" t="s">
        <v>32</v>
      </c>
      <c r="C5" s="8">
        <v>4</v>
      </c>
      <c r="D5" s="8">
        <v>5</v>
      </c>
      <c r="E5" s="8">
        <f t="shared" si="0"/>
        <v>4.5</v>
      </c>
      <c r="F5" s="8" t="str">
        <f t="shared" si="1"/>
        <v>зачтено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x14ac:dyDescent="0.25">
      <c r="A6" s="6">
        <v>4</v>
      </c>
      <c r="B6" s="8" t="s">
        <v>33</v>
      </c>
      <c r="C6" s="8">
        <v>5</v>
      </c>
      <c r="D6" s="8">
        <v>5</v>
      </c>
      <c r="E6" s="8">
        <f t="shared" si="0"/>
        <v>5</v>
      </c>
      <c r="F6" s="8" t="str">
        <f t="shared" si="1"/>
        <v>зачтено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x14ac:dyDescent="0.25">
      <c r="A7" s="6">
        <v>5</v>
      </c>
      <c r="B7" s="8" t="s">
        <v>34</v>
      </c>
      <c r="C7" s="8">
        <v>3</v>
      </c>
      <c r="D7" s="8">
        <v>3</v>
      </c>
      <c r="E7" s="8">
        <f t="shared" si="0"/>
        <v>3</v>
      </c>
      <c r="F7" s="8" t="str">
        <f t="shared" si="1"/>
        <v>не зачтено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x14ac:dyDescent="0.25">
      <c r="A8" s="6">
        <v>6</v>
      </c>
      <c r="B8" s="4" t="s">
        <v>35</v>
      </c>
      <c r="C8" s="8">
        <v>4</v>
      </c>
      <c r="D8" s="8">
        <v>3</v>
      </c>
      <c r="E8" s="8">
        <f t="shared" si="0"/>
        <v>3.5</v>
      </c>
      <c r="F8" s="8" t="str">
        <f t="shared" si="1"/>
        <v>не зачтено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x14ac:dyDescent="0.25">
      <c r="A9" s="6">
        <v>7</v>
      </c>
      <c r="B9" s="4" t="s">
        <v>36</v>
      </c>
      <c r="C9" s="8">
        <v>5</v>
      </c>
      <c r="D9" s="8">
        <v>5</v>
      </c>
      <c r="E9" s="8">
        <f t="shared" si="0"/>
        <v>5</v>
      </c>
      <c r="F9" s="8" t="str">
        <f t="shared" si="1"/>
        <v>зачтено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x14ac:dyDescent="0.25">
      <c r="A10" s="6">
        <v>8</v>
      </c>
      <c r="B10" s="4" t="s">
        <v>37</v>
      </c>
      <c r="C10" s="8">
        <v>4</v>
      </c>
      <c r="D10" s="8">
        <v>5</v>
      </c>
      <c r="E10" s="8">
        <f t="shared" si="0"/>
        <v>4.5</v>
      </c>
      <c r="F10" s="8" t="str">
        <f t="shared" si="1"/>
        <v>зачтено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x14ac:dyDescent="0.25">
      <c r="A11" s="6">
        <v>9</v>
      </c>
      <c r="B11" s="4" t="s">
        <v>38</v>
      </c>
      <c r="C11" s="8">
        <v>5</v>
      </c>
      <c r="D11" s="8">
        <v>3</v>
      </c>
      <c r="E11" s="8">
        <f t="shared" si="0"/>
        <v>4</v>
      </c>
      <c r="F11" s="8" t="str">
        <f t="shared" si="1"/>
        <v>не зачтено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x14ac:dyDescent="0.25">
      <c r="A12" s="6">
        <v>10</v>
      </c>
      <c r="B12" s="4" t="s">
        <v>39</v>
      </c>
      <c r="C12" s="8">
        <v>3</v>
      </c>
      <c r="D12" s="8">
        <v>3</v>
      </c>
      <c r="E12" s="8">
        <f t="shared" si="0"/>
        <v>3</v>
      </c>
      <c r="F12" s="8" t="str">
        <f t="shared" si="1"/>
        <v>не зачтено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x14ac:dyDescent="0.25">
      <c r="A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x14ac:dyDescent="0.25">
      <c r="A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x14ac:dyDescent="0.25">
      <c r="A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x14ac:dyDescent="0.25">
      <c r="A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x14ac:dyDescent="0.25">
      <c r="A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</sheetData>
  <mergeCells count="5">
    <mergeCell ref="A1:A2"/>
    <mergeCell ref="B1:B2"/>
    <mergeCell ref="E1:E2"/>
    <mergeCell ref="F1:F2"/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4481-CE91-42F5-932A-28D9CAFE2CB3}">
  <dimension ref="A1:B7"/>
  <sheetViews>
    <sheetView workbookViewId="0">
      <selection activeCell="G31" sqref="G31"/>
    </sheetView>
  </sheetViews>
  <sheetFormatPr defaultRowHeight="15" x14ac:dyDescent="0.25"/>
  <cols>
    <col min="1" max="1" width="13.28515625" customWidth="1"/>
    <col min="2" max="2" width="13.5703125" customWidth="1"/>
  </cols>
  <sheetData>
    <row r="1" spans="1:2" ht="18.75" x14ac:dyDescent="0.25">
      <c r="A1" s="9" t="s">
        <v>40</v>
      </c>
      <c r="B1" s="9" t="s">
        <v>41</v>
      </c>
    </row>
    <row r="2" spans="1:2" ht="18.75" x14ac:dyDescent="0.25">
      <c r="A2" s="9" t="s">
        <v>42</v>
      </c>
      <c r="B2" s="9" t="str">
        <f>IF(A2="Зеленый","идти","стоять")</f>
        <v>идти</v>
      </c>
    </row>
    <row r="3" spans="1:2" ht="18.75" x14ac:dyDescent="0.25">
      <c r="A3" s="9" t="s">
        <v>43</v>
      </c>
      <c r="B3" s="9" t="str">
        <f t="shared" ref="B3:B7" si="0">IF(A3="Зеленый","идти","стоять")</f>
        <v>стоять</v>
      </c>
    </row>
    <row r="4" spans="1:2" ht="18.75" x14ac:dyDescent="0.25">
      <c r="A4" s="9" t="s">
        <v>42</v>
      </c>
      <c r="B4" s="9" t="str">
        <f t="shared" si="0"/>
        <v>идти</v>
      </c>
    </row>
    <row r="5" spans="1:2" ht="18.75" x14ac:dyDescent="0.25">
      <c r="A5" s="9" t="s">
        <v>43</v>
      </c>
      <c r="B5" s="9" t="str">
        <f t="shared" si="0"/>
        <v>стоять</v>
      </c>
    </row>
    <row r="6" spans="1:2" ht="18.75" x14ac:dyDescent="0.25">
      <c r="A6" s="9" t="s">
        <v>42</v>
      </c>
      <c r="B6" s="9" t="str">
        <f t="shared" si="0"/>
        <v>идти</v>
      </c>
    </row>
    <row r="7" spans="1:2" ht="18.75" x14ac:dyDescent="0.25">
      <c r="A7" s="9" t="s">
        <v>43</v>
      </c>
      <c r="B7" s="9" t="str">
        <f t="shared" si="0"/>
        <v>стоять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EB29-2538-4E53-A871-21C5C85E7E40}">
  <dimension ref="A1:C8"/>
  <sheetViews>
    <sheetView workbookViewId="0">
      <selection activeCell="B1" sqref="B1"/>
    </sheetView>
  </sheetViews>
  <sheetFormatPr defaultRowHeight="15" x14ac:dyDescent="0.25"/>
  <cols>
    <col min="1" max="1" width="25" customWidth="1"/>
    <col min="2" max="2" width="18.85546875" customWidth="1"/>
    <col min="3" max="3" width="20.28515625" customWidth="1"/>
  </cols>
  <sheetData>
    <row r="1" spans="1:3" ht="20.25" x14ac:dyDescent="0.25">
      <c r="A1" s="10" t="s">
        <v>44</v>
      </c>
      <c r="B1" s="10" t="s">
        <v>57</v>
      </c>
      <c r="C1" s="10" t="s">
        <v>56</v>
      </c>
    </row>
    <row r="2" spans="1:3" ht="20.25" x14ac:dyDescent="0.3">
      <c r="A2" s="11" t="s">
        <v>45</v>
      </c>
      <c r="B2" s="11" t="s">
        <v>52</v>
      </c>
      <c r="C2" s="11" t="str">
        <f>IF(B2="Пасмурно","Взять зонт","Не брать зонт")</f>
        <v>Взять зонт</v>
      </c>
    </row>
    <row r="3" spans="1:3" ht="20.25" x14ac:dyDescent="0.3">
      <c r="A3" s="11" t="s">
        <v>46</v>
      </c>
      <c r="B3" s="11" t="s">
        <v>53</v>
      </c>
      <c r="C3" s="11" t="str">
        <f t="shared" ref="C3:C8" si="0">IF(B3="Пасмурно","Взять зонт","Не брать зонт")</f>
        <v>Не брать зонт</v>
      </c>
    </row>
    <row r="4" spans="1:3" ht="20.25" x14ac:dyDescent="0.3">
      <c r="A4" s="11" t="s">
        <v>47</v>
      </c>
      <c r="B4" s="11" t="s">
        <v>54</v>
      </c>
      <c r="C4" s="11" t="str">
        <f t="shared" si="0"/>
        <v>Не брать зонт</v>
      </c>
    </row>
    <row r="5" spans="1:3" ht="20.25" x14ac:dyDescent="0.3">
      <c r="A5" s="11" t="s">
        <v>48</v>
      </c>
      <c r="B5" s="11" t="s">
        <v>52</v>
      </c>
      <c r="C5" s="11" t="str">
        <f t="shared" si="0"/>
        <v>Взять зонт</v>
      </c>
    </row>
    <row r="6" spans="1:3" ht="20.25" x14ac:dyDescent="0.3">
      <c r="A6" s="11" t="s">
        <v>49</v>
      </c>
      <c r="B6" s="11" t="s">
        <v>55</v>
      </c>
      <c r="C6" s="11" t="str">
        <f t="shared" si="0"/>
        <v>Не брать зонт</v>
      </c>
    </row>
    <row r="7" spans="1:3" ht="20.25" x14ac:dyDescent="0.3">
      <c r="A7" s="11" t="s">
        <v>50</v>
      </c>
      <c r="B7" s="11" t="s">
        <v>52</v>
      </c>
      <c r="C7" s="11" t="str">
        <f t="shared" si="0"/>
        <v>Взять зонт</v>
      </c>
    </row>
    <row r="8" spans="1:3" ht="20.25" x14ac:dyDescent="0.3">
      <c r="A8" s="11" t="s">
        <v>51</v>
      </c>
      <c r="B8" s="11" t="s">
        <v>53</v>
      </c>
      <c r="C8" s="11" t="str">
        <f t="shared" si="0"/>
        <v>Не брать зонт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A7E6-F8DB-4458-9563-0548FB0C6197}">
  <dimension ref="A1:D20"/>
  <sheetViews>
    <sheetView workbookViewId="0">
      <selection activeCell="I11" sqref="I11"/>
    </sheetView>
  </sheetViews>
  <sheetFormatPr defaultRowHeight="15" x14ac:dyDescent="0.25"/>
  <cols>
    <col min="1" max="1" width="5.5703125" customWidth="1"/>
    <col min="2" max="2" width="42.5703125" customWidth="1"/>
    <col min="3" max="3" width="18.5703125" customWidth="1"/>
  </cols>
  <sheetData>
    <row r="1" spans="1:4" x14ac:dyDescent="0.25">
      <c r="A1" s="19" t="s">
        <v>59</v>
      </c>
      <c r="B1" s="19"/>
      <c r="C1" s="19"/>
      <c r="D1" s="19"/>
    </row>
    <row r="2" spans="1:4" x14ac:dyDescent="0.25">
      <c r="A2" s="1"/>
      <c r="B2" s="1"/>
      <c r="C2" s="1"/>
      <c r="D2" s="1"/>
    </row>
    <row r="3" spans="1:4" x14ac:dyDescent="0.25">
      <c r="A3" s="12" t="s">
        <v>58</v>
      </c>
      <c r="B3" s="12" t="s">
        <v>60</v>
      </c>
      <c r="C3" s="12" t="s">
        <v>77</v>
      </c>
      <c r="D3" s="12" t="s">
        <v>86</v>
      </c>
    </row>
    <row r="4" spans="1:4" x14ac:dyDescent="0.25">
      <c r="A4" s="13">
        <v>1</v>
      </c>
      <c r="B4" s="1" t="s">
        <v>61</v>
      </c>
      <c r="C4" s="1" t="s">
        <v>78</v>
      </c>
      <c r="D4" s="1">
        <v>18000</v>
      </c>
    </row>
    <row r="5" spans="1:4" x14ac:dyDescent="0.25">
      <c r="A5" s="13">
        <v>2</v>
      </c>
      <c r="B5" s="1" t="s">
        <v>62</v>
      </c>
      <c r="C5" s="1" t="s">
        <v>79</v>
      </c>
      <c r="D5" s="1">
        <v>14500</v>
      </c>
    </row>
    <row r="6" spans="1:4" x14ac:dyDescent="0.25">
      <c r="A6" s="13">
        <v>3</v>
      </c>
      <c r="B6" s="1" t="s">
        <v>63</v>
      </c>
      <c r="C6" s="1" t="s">
        <v>80</v>
      </c>
      <c r="D6" s="1">
        <v>10000</v>
      </c>
    </row>
    <row r="7" spans="1:4" x14ac:dyDescent="0.25">
      <c r="A7" s="13">
        <v>4</v>
      </c>
      <c r="B7" s="1" t="s">
        <v>64</v>
      </c>
      <c r="C7" s="1" t="s">
        <v>80</v>
      </c>
      <c r="D7" s="1">
        <v>10000</v>
      </c>
    </row>
    <row r="8" spans="1:4" x14ac:dyDescent="0.25">
      <c r="A8" s="13">
        <v>5</v>
      </c>
      <c r="B8" s="1" t="s">
        <v>65</v>
      </c>
      <c r="C8" s="1" t="s">
        <v>81</v>
      </c>
      <c r="D8" s="1">
        <v>6800</v>
      </c>
    </row>
    <row r="9" spans="1:4" x14ac:dyDescent="0.25">
      <c r="A9" s="13">
        <v>6</v>
      </c>
      <c r="B9" s="1" t="s">
        <v>66</v>
      </c>
      <c r="C9" s="1" t="s">
        <v>82</v>
      </c>
      <c r="D9" s="1">
        <v>5400</v>
      </c>
    </row>
    <row r="10" spans="1:4" x14ac:dyDescent="0.25">
      <c r="A10" s="13">
        <v>7</v>
      </c>
      <c r="B10" s="1" t="s">
        <v>67</v>
      </c>
      <c r="C10" s="1" t="s">
        <v>83</v>
      </c>
      <c r="D10" s="1">
        <v>3000</v>
      </c>
    </row>
    <row r="11" spans="1:4" x14ac:dyDescent="0.25">
      <c r="A11" s="13">
        <v>8</v>
      </c>
      <c r="B11" s="1" t="s">
        <v>68</v>
      </c>
      <c r="C11" s="1" t="s">
        <v>84</v>
      </c>
      <c r="D11" s="1">
        <v>2700</v>
      </c>
    </row>
    <row r="12" spans="1:4" x14ac:dyDescent="0.25">
      <c r="A12" s="13">
        <v>9</v>
      </c>
      <c r="B12" s="1" t="s">
        <v>69</v>
      </c>
      <c r="C12" s="1" t="s">
        <v>85</v>
      </c>
      <c r="D12" s="1">
        <v>8000</v>
      </c>
    </row>
    <row r="13" spans="1:4" x14ac:dyDescent="0.25">
      <c r="A13" s="13">
        <v>10</v>
      </c>
      <c r="B13" s="1" t="s">
        <v>70</v>
      </c>
      <c r="C13" s="1" t="s">
        <v>85</v>
      </c>
      <c r="D13" s="1">
        <v>8000</v>
      </c>
    </row>
    <row r="14" spans="1:4" x14ac:dyDescent="0.25">
      <c r="A14" s="1"/>
      <c r="B14" s="3" t="s">
        <v>71</v>
      </c>
      <c r="C14" s="1"/>
      <c r="D14" s="1"/>
    </row>
    <row r="16" spans="1:4" x14ac:dyDescent="0.25">
      <c r="B16" s="3" t="s">
        <v>72</v>
      </c>
      <c r="C16" s="1">
        <f>MIN(D4:D13)</f>
        <v>2700</v>
      </c>
      <c r="D16" s="1"/>
    </row>
    <row r="17" spans="2:4" x14ac:dyDescent="0.25">
      <c r="B17" s="3" t="s">
        <v>73</v>
      </c>
      <c r="C17" s="1">
        <f>MAX(D4:D13)</f>
        <v>18000</v>
      </c>
      <c r="D17" s="1"/>
    </row>
    <row r="18" spans="2:4" x14ac:dyDescent="0.25">
      <c r="B18" s="3" t="s">
        <v>74</v>
      </c>
      <c r="C18" s="1">
        <f>AVERAGE(D4:D13)</f>
        <v>8640</v>
      </c>
      <c r="D18" s="1"/>
    </row>
    <row r="19" spans="2:4" x14ac:dyDescent="0.25">
      <c r="B19" s="3" t="s">
        <v>75</v>
      </c>
      <c r="C19" s="1">
        <v>5000</v>
      </c>
      <c r="D19" s="1">
        <f>COUNTIF(D4:D13,"&lt;"&amp;C19)</f>
        <v>2</v>
      </c>
    </row>
    <row r="20" spans="2:4" x14ac:dyDescent="0.25">
      <c r="B20" s="3" t="s">
        <v>76</v>
      </c>
      <c r="C20" s="1">
        <v>5000</v>
      </c>
      <c r="D20" s="1">
        <f>SUMIF(D4:D13,"&lt;"&amp;C19)</f>
        <v>5700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ффффф ииииии</dc:creator>
  <cp:lastModifiedBy>ффффф ииииии</cp:lastModifiedBy>
  <dcterms:created xsi:type="dcterms:W3CDTF">2025-02-04T07:03:50Z</dcterms:created>
  <dcterms:modified xsi:type="dcterms:W3CDTF">2025-02-10T22:24:56Z</dcterms:modified>
</cp:coreProperties>
</file>